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252\Desktop\Python\yolov8\"/>
    </mc:Choice>
  </mc:AlternateContent>
  <xr:revisionPtr revIDLastSave="0" documentId="13_ncr:1_{E2BB4F23-9764-417C-8C6B-EE3CFEFF5890}" xr6:coauthVersionLast="47" xr6:coauthVersionMax="47" xr10:uidLastSave="{00000000-0000-0000-0000-000000000000}"/>
  <bookViews>
    <workbookView xWindow="-28905" yWindow="0" windowWidth="14610" windowHeight="15585" xr2:uid="{01BB1F83-4806-4AE7-832C-E16B5C4D4B38}"/>
  </bookViews>
  <sheets>
    <sheet name="segmentation" sheetId="3" r:id="rId1"/>
    <sheet name="detec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1" l="1"/>
  <c r="Z31" i="1"/>
  <c r="AA31" i="1"/>
  <c r="AB31" i="1"/>
  <c r="X31" i="1"/>
  <c r="Y18" i="1"/>
  <c r="Z18" i="1"/>
  <c r="AA18" i="1"/>
  <c r="AB18" i="1"/>
  <c r="AC18" i="1"/>
  <c r="X18" i="1"/>
  <c r="Y32" i="3"/>
  <c r="Z32" i="3"/>
  <c r="AA32" i="3"/>
  <c r="AB32" i="3"/>
  <c r="X32" i="3"/>
  <c r="AC18" i="3"/>
  <c r="X18" i="3"/>
  <c r="AB18" i="3"/>
  <c r="AA18" i="3"/>
  <c r="Z18" i="3"/>
  <c r="Y18" i="3"/>
  <c r="AC32" i="1" l="1"/>
  <c r="AC19" i="1"/>
  <c r="AC33" i="3"/>
  <c r="AC19" i="3"/>
</calcChain>
</file>

<file path=xl/sharedStrings.xml><?xml version="1.0" encoding="utf-8"?>
<sst xmlns="http://schemas.openxmlformats.org/spreadsheetml/2006/main" count="102" uniqueCount="25">
  <si>
    <t>Image #1 Detection</t>
  </si>
  <si>
    <t>Area</t>
  </si>
  <si>
    <t>Max</t>
  </si>
  <si>
    <t>Expected</t>
  </si>
  <si>
    <t>Predicted</t>
  </si>
  <si>
    <t>Delta</t>
  </si>
  <si>
    <t>Upper Level</t>
  </si>
  <si>
    <t>Close Perp Line</t>
  </si>
  <si>
    <t>Far Perp Line</t>
  </si>
  <si>
    <t>Close Side</t>
  </si>
  <si>
    <t>Far Side</t>
  </si>
  <si>
    <t>Small Parking</t>
  </si>
  <si>
    <t>Actual # of cars</t>
  </si>
  <si>
    <t>Violating Cars</t>
  </si>
  <si>
    <t>Hit\Miss</t>
  </si>
  <si>
    <t>M</t>
  </si>
  <si>
    <t>H</t>
  </si>
  <si>
    <t>3+van</t>
  </si>
  <si>
    <t>sum</t>
  </si>
  <si>
    <t>rate</t>
  </si>
  <si>
    <t>Image #2 Detection</t>
  </si>
  <si>
    <t xml:space="preserve">H </t>
  </si>
  <si>
    <t>Image #1 Segmentation</t>
  </si>
  <si>
    <t>Image #2 Segmentation</t>
  </si>
  <si>
    <t>Out of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</si>
</sst>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CC0000"/>
      <name val="Arial"/>
      <family val="2"/>
      <scheme val="minor"/>
    </font>
    <font>
      <sz val="11"/>
      <color rgb="FF00CC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readingOrder="1"/>
    </xf>
    <xf numFmtId="0" fontId="0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  <color rgb="FFCC0000"/>
      <color rgb="FFFF0066"/>
      <color rgb="FF0099FF"/>
      <color rgb="FF00FFFF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8217-1BCF-4135-BB76-F56479612A1E}">
  <dimension ref="W6:AD33"/>
  <sheetViews>
    <sheetView rightToLeft="1" tabSelected="1" topLeftCell="U1" zoomScale="85" zoomScaleNormal="85" workbookViewId="0">
      <selection activeCell="AA40" sqref="AA39:AA40"/>
    </sheetView>
  </sheetViews>
  <sheetFormatPr defaultRowHeight="14.25" x14ac:dyDescent="0.2"/>
  <cols>
    <col min="1" max="23" width="9" style="1"/>
    <col min="24" max="24" width="14.5" style="1" customWidth="1"/>
    <col min="25" max="25" width="9" style="1"/>
    <col min="26" max="27" width="9" style="1" customWidth="1"/>
    <col min="28" max="28" width="19" style="1" customWidth="1"/>
    <col min="29" max="29" width="9" style="1"/>
    <col min="30" max="30" width="16.375" style="1" customWidth="1"/>
    <col min="31" max="16384" width="9" style="1"/>
  </cols>
  <sheetData>
    <row r="6" spans="23:30" ht="14.25" customHeight="1" x14ac:dyDescent="0.2"/>
    <row r="7" spans="23:30" ht="14.25" customHeight="1" x14ac:dyDescent="0.2"/>
    <row r="8" spans="23:30" ht="14.25" customHeight="1" x14ac:dyDescent="0.2">
      <c r="W8" s="5" t="s">
        <v>22</v>
      </c>
      <c r="X8" s="6"/>
      <c r="Y8" s="6"/>
      <c r="Z8" s="6"/>
      <c r="AA8" s="6"/>
      <c r="AB8" s="6"/>
      <c r="AC8" s="6"/>
      <c r="AD8" s="7"/>
    </row>
    <row r="9" spans="23:30" ht="14.25" customHeight="1" x14ac:dyDescent="0.2">
      <c r="W9" s="9" t="s">
        <v>14</v>
      </c>
      <c r="X9" s="9" t="s">
        <v>13</v>
      </c>
      <c r="Y9" s="10" t="s">
        <v>5</v>
      </c>
      <c r="Z9" s="10" t="s">
        <v>4</v>
      </c>
      <c r="AA9" s="10" t="s">
        <v>3</v>
      </c>
      <c r="AB9" s="10" t="s">
        <v>12</v>
      </c>
      <c r="AC9" s="10" t="s">
        <v>2</v>
      </c>
      <c r="AD9" s="10" t="s">
        <v>1</v>
      </c>
    </row>
    <row r="10" spans="23:30" ht="14.25" customHeight="1" x14ac:dyDescent="0.2">
      <c r="W10" s="11" t="s">
        <v>15</v>
      </c>
      <c r="X10" s="2">
        <v>3</v>
      </c>
      <c r="Y10" s="3">
        <v>6</v>
      </c>
      <c r="Z10" s="3">
        <v>26</v>
      </c>
      <c r="AA10" s="3">
        <v>20</v>
      </c>
      <c r="AB10" s="3">
        <v>23</v>
      </c>
      <c r="AC10" s="4">
        <v>20</v>
      </c>
      <c r="AD10" s="8" t="s">
        <v>6</v>
      </c>
    </row>
    <row r="11" spans="23:30" ht="14.25" customHeight="1" x14ac:dyDescent="0.2">
      <c r="W11" s="11" t="s">
        <v>15</v>
      </c>
      <c r="X11" s="2">
        <v>0</v>
      </c>
      <c r="Y11" s="3">
        <v>2</v>
      </c>
      <c r="Z11" s="3">
        <v>6</v>
      </c>
      <c r="AA11" s="3">
        <v>8</v>
      </c>
      <c r="AB11" s="3">
        <v>8</v>
      </c>
      <c r="AC11" s="4">
        <v>8</v>
      </c>
      <c r="AD11" s="8" t="s">
        <v>7</v>
      </c>
    </row>
    <row r="12" spans="23:30" ht="14.25" customHeight="1" x14ac:dyDescent="0.2">
      <c r="W12" s="11" t="s">
        <v>15</v>
      </c>
      <c r="X12" s="2">
        <v>0</v>
      </c>
      <c r="Y12" s="3">
        <v>4</v>
      </c>
      <c r="Z12" s="3">
        <v>0</v>
      </c>
      <c r="AA12" s="3">
        <v>4</v>
      </c>
      <c r="AB12" s="3">
        <v>4</v>
      </c>
      <c r="AC12" s="4">
        <v>4</v>
      </c>
      <c r="AD12" s="8" t="s">
        <v>8</v>
      </c>
    </row>
    <row r="13" spans="23:30" ht="14.25" customHeight="1" x14ac:dyDescent="0.2">
      <c r="W13" s="11" t="s">
        <v>15</v>
      </c>
      <c r="X13" s="2">
        <v>0</v>
      </c>
      <c r="Y13" s="3">
        <v>1</v>
      </c>
      <c r="Z13" s="3">
        <v>2</v>
      </c>
      <c r="AA13" s="3">
        <v>3</v>
      </c>
      <c r="AB13" s="3">
        <v>3</v>
      </c>
      <c r="AC13" s="4">
        <v>3</v>
      </c>
      <c r="AD13" s="8" t="s">
        <v>9</v>
      </c>
    </row>
    <row r="14" spans="23:30" ht="14.25" customHeight="1" x14ac:dyDescent="0.2">
      <c r="W14" s="11" t="s">
        <v>15</v>
      </c>
      <c r="X14" s="2">
        <v>0</v>
      </c>
      <c r="Y14" s="3">
        <v>2</v>
      </c>
      <c r="Z14" s="3">
        <v>2</v>
      </c>
      <c r="AA14" s="3">
        <v>4</v>
      </c>
      <c r="AB14" s="3" t="s">
        <v>17</v>
      </c>
      <c r="AC14" s="4">
        <v>4</v>
      </c>
      <c r="AD14" s="8" t="s">
        <v>10</v>
      </c>
    </row>
    <row r="15" spans="23:30" ht="14.25" customHeight="1" x14ac:dyDescent="0.2">
      <c r="W15" s="11" t="s">
        <v>15</v>
      </c>
      <c r="X15" s="2">
        <v>1</v>
      </c>
      <c r="Y15" s="3">
        <v>9</v>
      </c>
      <c r="Z15" s="3">
        <v>0</v>
      </c>
      <c r="AA15" s="3">
        <v>9</v>
      </c>
      <c r="AB15" s="3">
        <v>10</v>
      </c>
      <c r="AC15" s="4">
        <v>9</v>
      </c>
      <c r="AD15" s="8" t="s">
        <v>11</v>
      </c>
    </row>
    <row r="16" spans="23:30" ht="14.25" customHeight="1" x14ac:dyDescent="0.2">
      <c r="W16" s="11" t="s">
        <v>15</v>
      </c>
      <c r="X16" s="2">
        <v>1</v>
      </c>
      <c r="Y16" s="3">
        <v>4</v>
      </c>
      <c r="Z16" s="3">
        <v>5</v>
      </c>
      <c r="AA16" s="3">
        <v>1</v>
      </c>
      <c r="AB16" s="3">
        <v>1</v>
      </c>
      <c r="AC16" s="4">
        <v>0</v>
      </c>
      <c r="AD16" s="8" t="s">
        <v>24</v>
      </c>
    </row>
    <row r="17" spans="23:30" ht="14.25" customHeight="1" x14ac:dyDescent="0.2"/>
    <row r="18" spans="23:30" ht="14.25" customHeight="1" x14ac:dyDescent="0.2">
      <c r="W18" s="13"/>
      <c r="X18" s="13">
        <f>SUM(X10:X16)</f>
        <v>5</v>
      </c>
      <c r="Y18" s="13">
        <f>SUM(Y10:Y16)</f>
        <v>28</v>
      </c>
      <c r="Z18" s="13">
        <f>SUM(Z10:Z16)</f>
        <v>41</v>
      </c>
      <c r="AA18" s="13">
        <f>SUM(AA10:AA16)</f>
        <v>49</v>
      </c>
      <c r="AB18" s="13">
        <f>SUM(AB10:AB16)</f>
        <v>49</v>
      </c>
      <c r="AC18" s="13">
        <f>SUM(AC10:AC16)</f>
        <v>48</v>
      </c>
      <c r="AD18" s="13" t="s">
        <v>18</v>
      </c>
    </row>
    <row r="19" spans="23:30" ht="14.25" customHeight="1" x14ac:dyDescent="0.2">
      <c r="AC19" s="1">
        <f>(Z18-X18)/AA18*100</f>
        <v>73.469387755102048</v>
      </c>
      <c r="AD19" s="1" t="s">
        <v>19</v>
      </c>
    </row>
    <row r="21" spans="23:30" x14ac:dyDescent="0.2">
      <c r="W21" s="5" t="s">
        <v>23</v>
      </c>
      <c r="X21" s="6"/>
      <c r="Y21" s="6"/>
      <c r="Z21" s="6"/>
      <c r="AA21" s="6"/>
      <c r="AB21" s="6"/>
      <c r="AC21" s="6"/>
      <c r="AD21" s="7"/>
    </row>
    <row r="22" spans="23:30" x14ac:dyDescent="0.2">
      <c r="W22" s="9" t="s">
        <v>14</v>
      </c>
      <c r="X22" s="9" t="s">
        <v>13</v>
      </c>
      <c r="Y22" s="10" t="s">
        <v>5</v>
      </c>
      <c r="Z22" s="10" t="s">
        <v>4</v>
      </c>
      <c r="AA22" s="10" t="s">
        <v>3</v>
      </c>
      <c r="AB22" s="10" t="s">
        <v>12</v>
      </c>
      <c r="AC22" s="10" t="s">
        <v>2</v>
      </c>
      <c r="AD22" s="10" t="s">
        <v>1</v>
      </c>
    </row>
    <row r="23" spans="23:30" x14ac:dyDescent="0.2">
      <c r="W23" s="11" t="s">
        <v>15</v>
      </c>
      <c r="X23" s="2">
        <v>1</v>
      </c>
      <c r="Y23" s="3">
        <v>1</v>
      </c>
      <c r="Z23" s="3">
        <v>16</v>
      </c>
      <c r="AA23" s="3">
        <v>15</v>
      </c>
      <c r="AB23" s="3">
        <v>16</v>
      </c>
      <c r="AC23" s="4">
        <v>20</v>
      </c>
      <c r="AD23" s="8" t="s">
        <v>6</v>
      </c>
    </row>
    <row r="24" spans="23:30" x14ac:dyDescent="0.2">
      <c r="W24" s="11" t="s">
        <v>15</v>
      </c>
      <c r="X24" s="2">
        <v>0</v>
      </c>
      <c r="Y24" s="3">
        <v>2</v>
      </c>
      <c r="Z24" s="3">
        <v>2</v>
      </c>
      <c r="AA24" s="3">
        <v>4</v>
      </c>
      <c r="AB24" s="3">
        <v>4</v>
      </c>
      <c r="AC24" s="4">
        <v>8</v>
      </c>
      <c r="AD24" s="8" t="s">
        <v>7</v>
      </c>
    </row>
    <row r="25" spans="23:30" x14ac:dyDescent="0.2">
      <c r="W25" s="11" t="s">
        <v>15</v>
      </c>
      <c r="X25" s="2">
        <v>0</v>
      </c>
      <c r="Y25" s="3">
        <v>2</v>
      </c>
      <c r="Z25" s="3">
        <v>1</v>
      </c>
      <c r="AA25" s="3">
        <v>3</v>
      </c>
      <c r="AB25" s="3">
        <v>3</v>
      </c>
      <c r="AC25" s="4">
        <v>4</v>
      </c>
      <c r="AD25" s="8" t="s">
        <v>8</v>
      </c>
    </row>
    <row r="26" spans="23:30" x14ac:dyDescent="0.2">
      <c r="W26" s="12" t="s">
        <v>21</v>
      </c>
      <c r="X26" s="2">
        <v>0</v>
      </c>
      <c r="Y26" s="3">
        <v>0</v>
      </c>
      <c r="Z26" s="3">
        <v>0</v>
      </c>
      <c r="AA26" s="3">
        <v>0</v>
      </c>
      <c r="AB26" s="3">
        <v>0</v>
      </c>
      <c r="AC26" s="4">
        <v>3</v>
      </c>
      <c r="AD26" s="8" t="s">
        <v>9</v>
      </c>
    </row>
    <row r="27" spans="23:30" x14ac:dyDescent="0.2">
      <c r="W27" s="12" t="s">
        <v>16</v>
      </c>
      <c r="X27" s="2">
        <v>0</v>
      </c>
      <c r="Y27" s="3">
        <v>0</v>
      </c>
      <c r="Z27" s="3">
        <v>1</v>
      </c>
      <c r="AA27" s="3">
        <v>1</v>
      </c>
      <c r="AB27" s="3">
        <v>1</v>
      </c>
      <c r="AC27" s="4">
        <v>4</v>
      </c>
      <c r="AD27" s="8" t="s">
        <v>10</v>
      </c>
    </row>
    <row r="28" spans="23:30" x14ac:dyDescent="0.2">
      <c r="W28" s="11" t="s">
        <v>15</v>
      </c>
      <c r="X28" s="2">
        <v>0</v>
      </c>
      <c r="Y28" s="3">
        <v>2</v>
      </c>
      <c r="Z28" s="3">
        <v>4</v>
      </c>
      <c r="AA28" s="3">
        <v>6</v>
      </c>
      <c r="AB28" s="3">
        <v>6</v>
      </c>
      <c r="AC28" s="4">
        <v>9</v>
      </c>
      <c r="AD28" s="8" t="s">
        <v>11</v>
      </c>
    </row>
    <row r="29" spans="23:30" x14ac:dyDescent="0.2">
      <c r="W29" s="11" t="s">
        <v>15</v>
      </c>
      <c r="X29" s="2">
        <v>1</v>
      </c>
      <c r="Y29" s="3">
        <v>0</v>
      </c>
      <c r="Z29" s="3">
        <v>1</v>
      </c>
      <c r="AA29" s="3">
        <v>1</v>
      </c>
      <c r="AB29" s="3">
        <v>1</v>
      </c>
      <c r="AC29" s="4">
        <v>0</v>
      </c>
      <c r="AD29" s="8" t="s">
        <v>24</v>
      </c>
    </row>
    <row r="32" spans="23:30" x14ac:dyDescent="0.2">
      <c r="W32" s="13"/>
      <c r="X32" s="13">
        <f>SUM(X23:X29)</f>
        <v>2</v>
      </c>
      <c r="Y32" s="13">
        <f>SUM(Y23:Y29)</f>
        <v>7</v>
      </c>
      <c r="Z32" s="13">
        <f>SUM(Z23:Z29)</f>
        <v>25</v>
      </c>
      <c r="AA32" s="13">
        <f>SUM(AA23:AA29)</f>
        <v>30</v>
      </c>
      <c r="AB32" s="13">
        <f>SUM(AB23:AB29)</f>
        <v>31</v>
      </c>
      <c r="AC32" s="13"/>
      <c r="AD32" s="13" t="s">
        <v>18</v>
      </c>
    </row>
    <row r="33" spans="29:30" x14ac:dyDescent="0.2">
      <c r="AC33" s="1">
        <f>(Z32-X32)/AA32*100</f>
        <v>76.666666666666671</v>
      </c>
      <c r="AD33" s="1" t="s">
        <v>19</v>
      </c>
    </row>
  </sheetData>
  <mergeCells count="2">
    <mergeCell ref="W8:AD8"/>
    <mergeCell ref="W21:A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69FB-43E9-4433-8426-0437C779D3E6}">
  <dimension ref="W6:AD32"/>
  <sheetViews>
    <sheetView rightToLeft="1" topLeftCell="U1" zoomScale="85" zoomScaleNormal="85" workbookViewId="0">
      <selection activeCell="AA42" sqref="AA42"/>
    </sheetView>
  </sheetViews>
  <sheetFormatPr defaultRowHeight="14.25" x14ac:dyDescent="0.2"/>
  <cols>
    <col min="1" max="23" width="9" style="1"/>
    <col min="24" max="24" width="14.5" style="1" customWidth="1"/>
    <col min="25" max="25" width="9" style="1"/>
    <col min="26" max="27" width="9" style="1" customWidth="1"/>
    <col min="28" max="28" width="19" style="1" customWidth="1"/>
    <col min="29" max="29" width="9" style="1"/>
    <col min="30" max="30" width="16.375" style="1" customWidth="1"/>
    <col min="31" max="16384" width="9" style="1"/>
  </cols>
  <sheetData>
    <row r="6" spans="23:30" ht="14.25" customHeight="1" x14ac:dyDescent="0.2"/>
    <row r="7" spans="23:30" ht="14.25" customHeight="1" x14ac:dyDescent="0.2"/>
    <row r="8" spans="23:30" ht="14.25" customHeight="1" x14ac:dyDescent="0.2">
      <c r="W8" s="5" t="s">
        <v>0</v>
      </c>
      <c r="X8" s="6"/>
      <c r="Y8" s="6"/>
      <c r="Z8" s="6"/>
      <c r="AA8" s="6"/>
      <c r="AB8" s="6"/>
      <c r="AC8" s="6"/>
      <c r="AD8" s="7"/>
    </row>
    <row r="9" spans="23:30" ht="14.25" customHeight="1" x14ac:dyDescent="0.2">
      <c r="W9" s="9" t="s">
        <v>14</v>
      </c>
      <c r="X9" s="9" t="s">
        <v>13</v>
      </c>
      <c r="Y9" s="10" t="s">
        <v>5</v>
      </c>
      <c r="Z9" s="10" t="s">
        <v>4</v>
      </c>
      <c r="AA9" s="10" t="s">
        <v>3</v>
      </c>
      <c r="AB9" s="10" t="s">
        <v>12</v>
      </c>
      <c r="AC9" s="10" t="s">
        <v>2</v>
      </c>
      <c r="AD9" s="10" t="s">
        <v>1</v>
      </c>
    </row>
    <row r="10" spans="23:30" ht="14.25" customHeight="1" x14ac:dyDescent="0.2">
      <c r="W10" s="11" t="s">
        <v>15</v>
      </c>
      <c r="X10" s="2">
        <v>3</v>
      </c>
      <c r="Y10" s="3">
        <v>1</v>
      </c>
      <c r="Z10" s="3">
        <v>21</v>
      </c>
      <c r="AA10" s="3">
        <v>20</v>
      </c>
      <c r="AB10" s="3">
        <v>23</v>
      </c>
      <c r="AC10" s="4">
        <v>20</v>
      </c>
      <c r="AD10" s="8" t="s">
        <v>6</v>
      </c>
    </row>
    <row r="11" spans="23:30" ht="14.25" customHeight="1" x14ac:dyDescent="0.2">
      <c r="W11" s="11" t="s">
        <v>15</v>
      </c>
      <c r="X11" s="2">
        <v>0</v>
      </c>
      <c r="Y11" s="3">
        <v>1</v>
      </c>
      <c r="Z11" s="3">
        <v>7</v>
      </c>
      <c r="AA11" s="3">
        <v>8</v>
      </c>
      <c r="AB11" s="3">
        <v>8</v>
      </c>
      <c r="AC11" s="4">
        <v>8</v>
      </c>
      <c r="AD11" s="8" t="s">
        <v>7</v>
      </c>
    </row>
    <row r="12" spans="23:30" ht="14.25" customHeight="1" x14ac:dyDescent="0.2">
      <c r="W12" s="11" t="s">
        <v>15</v>
      </c>
      <c r="X12" s="2">
        <v>0</v>
      </c>
      <c r="Y12" s="3">
        <v>4</v>
      </c>
      <c r="Z12" s="3">
        <v>0</v>
      </c>
      <c r="AA12" s="3">
        <v>4</v>
      </c>
      <c r="AB12" s="3">
        <v>4</v>
      </c>
      <c r="AC12" s="4">
        <v>4</v>
      </c>
      <c r="AD12" s="8" t="s">
        <v>8</v>
      </c>
    </row>
    <row r="13" spans="23:30" ht="14.25" customHeight="1" x14ac:dyDescent="0.2">
      <c r="W13" s="11" t="s">
        <v>15</v>
      </c>
      <c r="X13" s="2">
        <v>0</v>
      </c>
      <c r="Y13" s="3">
        <v>1</v>
      </c>
      <c r="Z13" s="3">
        <v>4</v>
      </c>
      <c r="AA13" s="3">
        <v>3</v>
      </c>
      <c r="AB13" s="3">
        <v>3</v>
      </c>
      <c r="AC13" s="4">
        <v>3</v>
      </c>
      <c r="AD13" s="8" t="s">
        <v>9</v>
      </c>
    </row>
    <row r="14" spans="23:30" ht="14.25" customHeight="1" x14ac:dyDescent="0.2">
      <c r="W14" s="11" t="s">
        <v>15</v>
      </c>
      <c r="X14" s="2">
        <v>0</v>
      </c>
      <c r="Y14" s="3">
        <v>2</v>
      </c>
      <c r="Z14" s="3">
        <v>2</v>
      </c>
      <c r="AA14" s="3">
        <v>4</v>
      </c>
      <c r="AB14" s="3" t="s">
        <v>17</v>
      </c>
      <c r="AC14" s="4">
        <v>4</v>
      </c>
      <c r="AD14" s="8" t="s">
        <v>10</v>
      </c>
    </row>
    <row r="15" spans="23:30" ht="14.25" customHeight="1" x14ac:dyDescent="0.2">
      <c r="W15" s="11" t="s">
        <v>15</v>
      </c>
      <c r="X15" s="2">
        <v>1</v>
      </c>
      <c r="Y15" s="3">
        <v>8</v>
      </c>
      <c r="Z15" s="3">
        <v>1</v>
      </c>
      <c r="AA15" s="3">
        <v>9</v>
      </c>
      <c r="AB15" s="3">
        <v>10</v>
      </c>
      <c r="AC15" s="4">
        <v>9</v>
      </c>
      <c r="AD15" s="8" t="s">
        <v>11</v>
      </c>
    </row>
    <row r="16" spans="23:30" ht="14.25" customHeight="1" x14ac:dyDescent="0.2">
      <c r="W16" s="11" t="s">
        <v>15</v>
      </c>
      <c r="X16" s="2">
        <v>1</v>
      </c>
      <c r="Y16" s="3">
        <v>1</v>
      </c>
      <c r="Z16" s="3">
        <v>1</v>
      </c>
      <c r="AA16" s="3">
        <v>0</v>
      </c>
      <c r="AB16" s="3">
        <v>1</v>
      </c>
      <c r="AC16" s="4">
        <v>0</v>
      </c>
      <c r="AD16" s="8" t="s">
        <v>24</v>
      </c>
    </row>
    <row r="17" spans="23:30" ht="14.25" customHeight="1" x14ac:dyDescent="0.2"/>
    <row r="18" spans="23:30" ht="14.25" customHeight="1" x14ac:dyDescent="0.2">
      <c r="W18" s="13"/>
      <c r="X18" s="13">
        <f>SUM(X10:X16)</f>
        <v>5</v>
      </c>
      <c r="Y18" s="13">
        <f>SUM(Y10:Y16)</f>
        <v>18</v>
      </c>
      <c r="Z18" s="13">
        <f>SUM(Z10:Z16)</f>
        <v>36</v>
      </c>
      <c r="AA18" s="13">
        <f>SUM(AA10:AA16)</f>
        <v>48</v>
      </c>
      <c r="AB18" s="13">
        <f>SUM(AB10:AB16)</f>
        <v>49</v>
      </c>
      <c r="AC18" s="13">
        <f>SUM(AC10:AC16)</f>
        <v>48</v>
      </c>
      <c r="AD18" s="13" t="s">
        <v>18</v>
      </c>
    </row>
    <row r="19" spans="23:30" ht="14.25" customHeight="1" x14ac:dyDescent="0.2">
      <c r="AC19" s="1">
        <f>(Z18-X18)/AA18*100</f>
        <v>64.583333333333343</v>
      </c>
      <c r="AD19" s="1" t="s">
        <v>19</v>
      </c>
    </row>
    <row r="21" spans="23:30" x14ac:dyDescent="0.2">
      <c r="W21" s="5" t="s">
        <v>20</v>
      </c>
      <c r="X21" s="6"/>
      <c r="Y21" s="6"/>
      <c r="Z21" s="6"/>
      <c r="AA21" s="6"/>
      <c r="AB21" s="6"/>
      <c r="AC21" s="6"/>
      <c r="AD21" s="7"/>
    </row>
    <row r="22" spans="23:30" x14ac:dyDescent="0.2">
      <c r="W22" s="9" t="s">
        <v>14</v>
      </c>
      <c r="X22" s="9" t="s">
        <v>13</v>
      </c>
      <c r="Y22" s="10" t="s">
        <v>5</v>
      </c>
      <c r="Z22" s="10" t="s">
        <v>4</v>
      </c>
      <c r="AA22" s="10" t="s">
        <v>3</v>
      </c>
      <c r="AB22" s="10" t="s">
        <v>12</v>
      </c>
      <c r="AC22" s="10" t="s">
        <v>2</v>
      </c>
      <c r="AD22" s="10" t="s">
        <v>1</v>
      </c>
    </row>
    <row r="23" spans="23:30" x14ac:dyDescent="0.2">
      <c r="W23" s="11" t="s">
        <v>15</v>
      </c>
      <c r="X23" s="2">
        <v>1</v>
      </c>
      <c r="Y23" s="3">
        <v>3</v>
      </c>
      <c r="Z23" s="3">
        <v>11</v>
      </c>
      <c r="AA23" s="3">
        <v>14</v>
      </c>
      <c r="AB23" s="3">
        <v>15</v>
      </c>
      <c r="AC23" s="4">
        <v>20</v>
      </c>
      <c r="AD23" s="8" t="s">
        <v>6</v>
      </c>
    </row>
    <row r="24" spans="23:30" x14ac:dyDescent="0.2">
      <c r="W24" s="11" t="s">
        <v>15</v>
      </c>
      <c r="X24" s="2">
        <v>0</v>
      </c>
      <c r="Y24" s="3">
        <v>1</v>
      </c>
      <c r="Z24" s="3">
        <v>3</v>
      </c>
      <c r="AA24" s="3">
        <v>4</v>
      </c>
      <c r="AB24" s="3">
        <v>4</v>
      </c>
      <c r="AC24" s="4">
        <v>8</v>
      </c>
      <c r="AD24" s="8" t="s">
        <v>7</v>
      </c>
    </row>
    <row r="25" spans="23:30" x14ac:dyDescent="0.2">
      <c r="W25" s="11" t="s">
        <v>15</v>
      </c>
      <c r="X25" s="2">
        <v>0</v>
      </c>
      <c r="Y25" s="3">
        <v>1</v>
      </c>
      <c r="Z25" s="3">
        <v>2</v>
      </c>
      <c r="AA25" s="3">
        <v>3</v>
      </c>
      <c r="AB25" s="3">
        <v>3</v>
      </c>
      <c r="AC25" s="4">
        <v>4</v>
      </c>
      <c r="AD25" s="8" t="s">
        <v>8</v>
      </c>
    </row>
    <row r="26" spans="23:30" x14ac:dyDescent="0.2">
      <c r="W26" s="12" t="s">
        <v>21</v>
      </c>
      <c r="X26" s="2">
        <v>0</v>
      </c>
      <c r="Y26" s="3">
        <v>0</v>
      </c>
      <c r="Z26" s="3">
        <v>0</v>
      </c>
      <c r="AA26" s="3">
        <v>0</v>
      </c>
      <c r="AB26" s="3">
        <v>0</v>
      </c>
      <c r="AC26" s="4">
        <v>3</v>
      </c>
      <c r="AD26" s="8" t="s">
        <v>9</v>
      </c>
    </row>
    <row r="27" spans="23:30" x14ac:dyDescent="0.2">
      <c r="W27" s="12" t="s">
        <v>16</v>
      </c>
      <c r="X27" s="2">
        <v>0</v>
      </c>
      <c r="Y27" s="3">
        <v>0</v>
      </c>
      <c r="Z27" s="3">
        <v>1</v>
      </c>
      <c r="AA27" s="3">
        <v>1</v>
      </c>
      <c r="AB27" s="3">
        <v>1</v>
      </c>
      <c r="AC27" s="4">
        <v>4</v>
      </c>
      <c r="AD27" s="8" t="s">
        <v>10</v>
      </c>
    </row>
    <row r="28" spans="23:30" x14ac:dyDescent="0.2">
      <c r="W28" s="11" t="s">
        <v>15</v>
      </c>
      <c r="X28" s="2">
        <v>1</v>
      </c>
      <c r="Y28" s="3">
        <v>1</v>
      </c>
      <c r="Z28" s="3">
        <v>7</v>
      </c>
      <c r="AA28" s="3">
        <v>6</v>
      </c>
      <c r="AB28" s="3">
        <v>7</v>
      </c>
      <c r="AC28" s="4">
        <v>9</v>
      </c>
      <c r="AD28" s="8" t="s">
        <v>11</v>
      </c>
    </row>
    <row r="29" spans="23:30" x14ac:dyDescent="0.2">
      <c r="W29" s="12" t="s">
        <v>16</v>
      </c>
      <c r="X29" s="2">
        <v>0</v>
      </c>
      <c r="Y29" s="3">
        <v>0</v>
      </c>
      <c r="Z29" s="3">
        <v>0</v>
      </c>
      <c r="AA29" s="3">
        <v>0</v>
      </c>
      <c r="AB29" s="3">
        <v>0</v>
      </c>
      <c r="AC29" s="4">
        <v>0</v>
      </c>
      <c r="AD29" s="8" t="s">
        <v>24</v>
      </c>
    </row>
    <row r="31" spans="23:30" x14ac:dyDescent="0.2">
      <c r="W31" s="13"/>
      <c r="X31" s="13">
        <f>SUM(X23:X29)</f>
        <v>2</v>
      </c>
      <c r="Y31" s="13">
        <f>SUM(Y23:Y29)</f>
        <v>6</v>
      </c>
      <c r="Z31" s="13">
        <f>SUM(Z23:Z29)</f>
        <v>24</v>
      </c>
      <c r="AA31" s="13">
        <f>SUM(AA23:AA29)</f>
        <v>28</v>
      </c>
      <c r="AB31" s="13">
        <f>SUM(AB23:AB29)</f>
        <v>30</v>
      </c>
      <c r="AC31" s="13"/>
      <c r="AD31" s="13" t="s">
        <v>18</v>
      </c>
    </row>
    <row r="32" spans="23:30" x14ac:dyDescent="0.2">
      <c r="AC32" s="1">
        <f>(Z31-X31)/AA31*100</f>
        <v>78.571428571428569</v>
      </c>
      <c r="AD32" s="1" t="s">
        <v>19</v>
      </c>
    </row>
  </sheetData>
  <mergeCells count="2">
    <mergeCell ref="W8:AD8"/>
    <mergeCell ref="W21:A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segmentation</vt:lpstr>
      <vt:lpstr>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דניאל בובריצקי</dc:creator>
  <cp:lastModifiedBy>דניאל בובריצקי</cp:lastModifiedBy>
  <dcterms:created xsi:type="dcterms:W3CDTF">2024-03-28T12:37:56Z</dcterms:created>
  <dcterms:modified xsi:type="dcterms:W3CDTF">2024-03-28T13:37:17Z</dcterms:modified>
</cp:coreProperties>
</file>